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ab\1. Machine Learning cơ bản\Challenge Task 1- Software Defect Prediction\"/>
    </mc:Choice>
  </mc:AlternateContent>
  <xr:revisionPtr revIDLastSave="0" documentId="13_ncr:1_{92F81679-C658-4D7E-B37B-5F751D68132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U14" i="1"/>
  <c r="U13" i="1"/>
  <c r="U12" i="1"/>
  <c r="U11" i="1"/>
  <c r="U10" i="1"/>
  <c r="U9" i="1"/>
  <c r="U6" i="1"/>
  <c r="U7" i="1"/>
  <c r="U8" i="1"/>
  <c r="U5" i="1"/>
  <c r="H15" i="1"/>
  <c r="F15" i="1"/>
  <c r="O15" i="1"/>
  <c r="M15" i="1"/>
  <c r="K15" i="1"/>
  <c r="D15" i="1"/>
  <c r="U15" i="1" l="1"/>
</calcChain>
</file>

<file path=xl/sharedStrings.xml><?xml version="1.0" encoding="utf-8"?>
<sst xmlns="http://schemas.openxmlformats.org/spreadsheetml/2006/main" count="25" uniqueCount="24">
  <si>
    <t>Random Forest</t>
  </si>
  <si>
    <t>Gradient Boosting</t>
  </si>
  <si>
    <t>Weighted-SVM</t>
  </si>
  <si>
    <t>Logistic Regression</t>
  </si>
  <si>
    <t>Multinominal Naïve Bayes</t>
  </si>
  <si>
    <t>Bernoulli Naïve Bayes</t>
  </si>
  <si>
    <t>Data</t>
  </si>
  <si>
    <t>Average</t>
  </si>
  <si>
    <t>KC1</t>
  </si>
  <si>
    <t>KC3</t>
  </si>
  <si>
    <t>MC1</t>
  </si>
  <si>
    <t>MC2</t>
  </si>
  <si>
    <t>MW1</t>
  </si>
  <si>
    <t>PC1</t>
  </si>
  <si>
    <t>PC3</t>
  </si>
  <si>
    <t>PC4</t>
  </si>
  <si>
    <t>PC5</t>
  </si>
  <si>
    <t>CM1</t>
  </si>
  <si>
    <t>NASA</t>
  </si>
  <si>
    <t>Standard Scaler</t>
  </si>
  <si>
    <t>Binarizer</t>
  </si>
  <si>
    <t>MinMax</t>
  </si>
  <si>
    <t>Original</t>
  </si>
  <si>
    <t>Stochastic Gradient Descent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</si>
</sst>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15"/>
  <sheetViews>
    <sheetView tabSelected="1" workbookViewId="0">
      <selection activeCell="H7" sqref="H7:J7"/>
    </sheetView>
  </sheetViews>
  <sheetFormatPr defaultColWidth="10.77734375" defaultRowHeight="14.4" x14ac:dyDescent="0.3"/>
  <sheetData>
    <row r="3" spans="1:22" x14ac:dyDescent="0.3">
      <c r="D3" s="1" t="s">
        <v>22</v>
      </c>
      <c r="E3" s="1"/>
      <c r="F3" s="1"/>
      <c r="G3" s="1"/>
      <c r="H3" s="1" t="s">
        <v>19</v>
      </c>
      <c r="I3" s="1"/>
      <c r="J3" s="1"/>
      <c r="K3" s="1"/>
      <c r="L3" s="1"/>
      <c r="M3" s="1"/>
      <c r="N3" s="1"/>
      <c r="O3" s="1" t="s">
        <v>21</v>
      </c>
      <c r="P3" s="1"/>
      <c r="Q3" s="1"/>
      <c r="R3" s="1" t="s">
        <v>20</v>
      </c>
      <c r="S3" s="1"/>
      <c r="T3" s="1"/>
    </row>
    <row r="4" spans="1:22" x14ac:dyDescent="0.3">
      <c r="B4" s="1" t="s">
        <v>6</v>
      </c>
      <c r="C4" s="1"/>
      <c r="D4" s="1" t="s">
        <v>0</v>
      </c>
      <c r="E4" s="1"/>
      <c r="F4" s="1" t="s">
        <v>1</v>
      </c>
      <c r="G4" s="1"/>
      <c r="H4" s="1" t="s">
        <v>23</v>
      </c>
      <c r="I4" s="1"/>
      <c r="J4" s="1"/>
      <c r="K4" s="1" t="s">
        <v>2</v>
      </c>
      <c r="L4" s="1"/>
      <c r="M4" s="1" t="s">
        <v>3</v>
      </c>
      <c r="N4" s="1"/>
      <c r="O4" s="1" t="s">
        <v>4</v>
      </c>
      <c r="P4" s="1"/>
      <c r="Q4" s="1"/>
      <c r="R4" s="1" t="s">
        <v>5</v>
      </c>
      <c r="S4" s="1"/>
      <c r="T4" s="1"/>
      <c r="U4" s="1" t="s">
        <v>7</v>
      </c>
      <c r="V4" s="1"/>
    </row>
    <row r="5" spans="1:22" x14ac:dyDescent="0.3">
      <c r="A5" s="3" t="s">
        <v>18</v>
      </c>
      <c r="B5" s="1" t="s">
        <v>17</v>
      </c>
      <c r="C5" s="1"/>
      <c r="D5" s="2">
        <v>0.672295321637426</v>
      </c>
      <c r="E5" s="2"/>
      <c r="F5" s="1">
        <v>0.640204678362573</v>
      </c>
      <c r="G5" s="1"/>
      <c r="H5" s="1">
        <v>0.75679824561403497</v>
      </c>
      <c r="I5" s="1"/>
      <c r="J5" s="1"/>
      <c r="K5" s="1">
        <v>0.642348927875243</v>
      </c>
      <c r="L5" s="1"/>
      <c r="M5" s="1">
        <v>0.69117933723196801</v>
      </c>
      <c r="N5" s="1"/>
      <c r="O5" s="1">
        <v>0.67558479532163696</v>
      </c>
      <c r="P5" s="1"/>
      <c r="Q5" s="1"/>
      <c r="R5" s="1">
        <v>0.74992690058479505</v>
      </c>
      <c r="S5" s="1"/>
      <c r="T5" s="1"/>
      <c r="U5" s="2">
        <f>AVERAGE(D5,K5,M5,O5,R5,F5,H5)</f>
        <v>0.68976260094681086</v>
      </c>
      <c r="V5" s="1"/>
    </row>
    <row r="6" spans="1:22" x14ac:dyDescent="0.3">
      <c r="A6" s="3"/>
      <c r="B6" s="1" t="s">
        <v>8</v>
      </c>
      <c r="C6" s="1"/>
      <c r="D6" s="2">
        <v>0.734930372715622</v>
      </c>
      <c r="E6" s="2"/>
      <c r="F6" s="1">
        <v>0.67146193590535597</v>
      </c>
      <c r="G6" s="1"/>
      <c r="H6" s="1">
        <v>0.68187090057839905</v>
      </c>
      <c r="I6" s="1"/>
      <c r="J6" s="1"/>
      <c r="K6" s="1">
        <v>0.69644478013017896</v>
      </c>
      <c r="L6" s="1"/>
      <c r="M6" s="1">
        <v>0.71182312885070498</v>
      </c>
      <c r="N6" s="1"/>
      <c r="O6" s="1">
        <v>0.69517135699269195</v>
      </c>
      <c r="P6" s="1"/>
      <c r="Q6" s="1"/>
      <c r="R6" s="1">
        <v>0.66930024416108502</v>
      </c>
      <c r="S6" s="1"/>
      <c r="T6" s="1"/>
      <c r="U6" s="2">
        <f>AVERAGE(D6,K6,M6,O6,R6,F6,H6)</f>
        <v>0.69442895990486264</v>
      </c>
      <c r="V6" s="1"/>
    </row>
    <row r="7" spans="1:22" x14ac:dyDescent="0.3">
      <c r="A7" s="3"/>
      <c r="B7" s="1" t="s">
        <v>9</v>
      </c>
      <c r="C7" s="1"/>
      <c r="D7" s="2">
        <v>0.72108294930875505</v>
      </c>
      <c r="E7" s="2"/>
      <c r="F7" s="1">
        <v>0.71612903225806401</v>
      </c>
      <c r="G7" s="1"/>
      <c r="H7" s="1">
        <v>0.66995967741935403</v>
      </c>
      <c r="I7" s="1"/>
      <c r="J7" s="1"/>
      <c r="K7" s="1">
        <v>0.74254032258064495</v>
      </c>
      <c r="L7" s="1"/>
      <c r="M7" s="1">
        <v>0.70282258064516101</v>
      </c>
      <c r="N7" s="1"/>
      <c r="O7" s="1">
        <v>0.68911290322580598</v>
      </c>
      <c r="P7" s="1"/>
      <c r="Q7" s="1"/>
      <c r="R7" s="1">
        <v>0.73862327188940002</v>
      </c>
      <c r="S7" s="1"/>
      <c r="T7" s="1"/>
      <c r="U7" s="2">
        <f t="shared" ref="U7:U8" si="0">AVERAGE(D7,K7,M7,O7,R7,F7,H7)</f>
        <v>0.71146724818959783</v>
      </c>
      <c r="V7" s="1"/>
    </row>
    <row r="8" spans="1:22" x14ac:dyDescent="0.3">
      <c r="A8" s="3"/>
      <c r="B8" s="1" t="s">
        <v>10</v>
      </c>
      <c r="C8" s="1"/>
      <c r="D8" s="2">
        <v>0.806957913713788</v>
      </c>
      <c r="E8" s="2"/>
      <c r="F8" s="1">
        <v>0.856301481101579</v>
      </c>
      <c r="G8" s="1"/>
      <c r="H8" s="1">
        <v>0.74063840451324103</v>
      </c>
      <c r="I8" s="1"/>
      <c r="J8" s="1"/>
      <c r="K8" s="1">
        <v>0.72648964938455796</v>
      </c>
      <c r="L8" s="1"/>
      <c r="M8" s="1">
        <v>0.78472079758796398</v>
      </c>
      <c r="N8" s="1"/>
      <c r="O8" s="1">
        <v>0.78255373461394995</v>
      </c>
      <c r="P8" s="1"/>
      <c r="Q8" s="1"/>
      <c r="R8" s="1">
        <v>0.77761553136267503</v>
      </c>
      <c r="S8" s="1"/>
      <c r="T8" s="1"/>
      <c r="U8" s="2">
        <f t="shared" si="0"/>
        <v>0.78218250175396509</v>
      </c>
      <c r="V8" s="1"/>
    </row>
    <row r="9" spans="1:22" x14ac:dyDescent="0.3">
      <c r="A9" s="3"/>
      <c r="B9" s="1" t="s">
        <v>11</v>
      </c>
      <c r="C9" s="1"/>
      <c r="D9" s="2">
        <v>0.71423611111111096</v>
      </c>
      <c r="E9" s="2"/>
      <c r="F9" s="1">
        <v>0.72604166666666603</v>
      </c>
      <c r="G9" s="1"/>
      <c r="H9" s="1">
        <v>0.67986111111111103</v>
      </c>
      <c r="I9" s="1"/>
      <c r="J9" s="1"/>
      <c r="K9" s="1">
        <v>0.73489583333333297</v>
      </c>
      <c r="L9" s="1"/>
      <c r="M9" s="1">
        <v>0.72378472222222201</v>
      </c>
      <c r="N9" s="1"/>
      <c r="O9" s="1">
        <v>0.67170138888888897</v>
      </c>
      <c r="P9" s="1"/>
      <c r="Q9" s="1"/>
      <c r="R9" s="1">
        <v>0.67335069444444395</v>
      </c>
      <c r="S9" s="1"/>
      <c r="T9" s="1"/>
      <c r="U9" s="2">
        <f t="shared" ref="U9:U14" si="1">AVERAGE(D9,K9,M9,O9,R9,F9,H9)</f>
        <v>0.70341021825396788</v>
      </c>
      <c r="V9" s="1"/>
    </row>
    <row r="10" spans="1:22" x14ac:dyDescent="0.3">
      <c r="A10" s="3"/>
      <c r="B10" s="1" t="s">
        <v>12</v>
      </c>
      <c r="C10" s="1"/>
      <c r="D10" s="2">
        <v>0.75733333333333297</v>
      </c>
      <c r="E10" s="2"/>
      <c r="F10" s="1">
        <v>0.67688888888888799</v>
      </c>
      <c r="G10" s="1"/>
      <c r="H10" s="1">
        <v>0.738222222222222</v>
      </c>
      <c r="I10" s="1"/>
      <c r="J10" s="1"/>
      <c r="K10" s="1">
        <v>0.73688888888888804</v>
      </c>
      <c r="L10" s="1"/>
      <c r="M10" s="1">
        <v>0.73866666666666603</v>
      </c>
      <c r="N10" s="1"/>
      <c r="O10" s="1">
        <v>0.82222222222222197</v>
      </c>
      <c r="P10" s="1"/>
      <c r="Q10" s="1"/>
      <c r="R10" s="1">
        <v>0.76222222222222202</v>
      </c>
      <c r="S10" s="1"/>
      <c r="T10" s="1"/>
      <c r="U10" s="2">
        <f>AVERAGE(D10,K10,M10,O10,R10,F10,H10)</f>
        <v>0.7474920634920631</v>
      </c>
      <c r="V10" s="1"/>
    </row>
    <row r="11" spans="1:22" x14ac:dyDescent="0.3">
      <c r="A11" s="3"/>
      <c r="B11" s="1" t="s">
        <v>13</v>
      </c>
      <c r="C11" s="1"/>
      <c r="D11" s="2">
        <v>0.83041348973606999</v>
      </c>
      <c r="E11" s="2"/>
      <c r="F11" s="1">
        <v>0.81703577712609898</v>
      </c>
      <c r="G11" s="1"/>
      <c r="H11" s="1">
        <v>0.87417067448680297</v>
      </c>
      <c r="I11" s="1"/>
      <c r="J11" s="1"/>
      <c r="K11" s="1">
        <v>0.85180058651026302</v>
      </c>
      <c r="L11" s="1"/>
      <c r="M11" s="1">
        <v>0.88646334310850405</v>
      </c>
      <c r="N11" s="1"/>
      <c r="O11" s="1">
        <v>0.84844222873900199</v>
      </c>
      <c r="P11" s="1"/>
      <c r="Q11" s="1"/>
      <c r="R11" s="1">
        <v>0.81684398826979399</v>
      </c>
      <c r="S11" s="1"/>
      <c r="T11" s="1"/>
      <c r="U11" s="2">
        <f>AVERAGE(D11,K11,M11,O11,R11,F11,H11)</f>
        <v>0.84645286971093359</v>
      </c>
      <c r="V11" s="1"/>
    </row>
    <row r="12" spans="1:22" x14ac:dyDescent="0.3">
      <c r="A12" s="3"/>
      <c r="B12" s="1" t="s">
        <v>14</v>
      </c>
      <c r="C12" s="1"/>
      <c r="D12" s="2">
        <v>0.81037501129892398</v>
      </c>
      <c r="E12" s="2"/>
      <c r="F12" s="1">
        <v>0.79537003977221299</v>
      </c>
      <c r="G12" s="1"/>
      <c r="H12" s="1">
        <v>0.69551590888547399</v>
      </c>
      <c r="I12" s="1"/>
      <c r="J12" s="1"/>
      <c r="K12" s="1">
        <v>0.82516632016631997</v>
      </c>
      <c r="L12" s="1"/>
      <c r="M12" s="1">
        <v>0.83043139293139201</v>
      </c>
      <c r="N12" s="1"/>
      <c r="O12" s="1">
        <v>0.81220216035433401</v>
      </c>
      <c r="P12" s="1"/>
      <c r="Q12" s="1"/>
      <c r="R12" s="1">
        <v>0.817027365994757</v>
      </c>
      <c r="S12" s="1"/>
      <c r="T12" s="1"/>
      <c r="U12" s="2">
        <f t="shared" si="1"/>
        <v>0.79801259991477347</v>
      </c>
      <c r="V12" s="1"/>
    </row>
    <row r="13" spans="1:22" x14ac:dyDescent="0.3">
      <c r="A13" s="3"/>
      <c r="B13" s="1" t="s">
        <v>15</v>
      </c>
      <c r="C13" s="1"/>
      <c r="D13" s="2">
        <v>0.93518637378289204</v>
      </c>
      <c r="E13" s="2"/>
      <c r="F13" s="1">
        <v>0.93715477636741895</v>
      </c>
      <c r="G13" s="1"/>
      <c r="H13" s="1">
        <v>0.86122879724551205</v>
      </c>
      <c r="I13" s="1"/>
      <c r="J13" s="1"/>
      <c r="K13" s="1">
        <v>0.89665043856761795</v>
      </c>
      <c r="L13" s="1"/>
      <c r="M13" s="1">
        <v>0.90586864715305004</v>
      </c>
      <c r="N13" s="1"/>
      <c r="O13" s="1">
        <v>0.85972182823948495</v>
      </c>
      <c r="P13" s="1"/>
      <c r="Q13" s="1"/>
      <c r="R13" s="1">
        <v>0.83825228759343295</v>
      </c>
      <c r="S13" s="1"/>
      <c r="T13" s="1"/>
      <c r="U13" s="2">
        <f t="shared" si="1"/>
        <v>0.89058044984991558</v>
      </c>
      <c r="V13" s="1"/>
    </row>
    <row r="14" spans="1:22" x14ac:dyDescent="0.3">
      <c r="A14" s="3"/>
      <c r="B14" s="1" t="s">
        <v>16</v>
      </c>
      <c r="C14" s="1"/>
      <c r="D14" s="2">
        <v>0.80891648411550598</v>
      </c>
      <c r="E14" s="2"/>
      <c r="F14" s="1">
        <v>0.78052050682820395</v>
      </c>
      <c r="G14" s="1"/>
      <c r="H14" s="1">
        <v>0.71043676499979602</v>
      </c>
      <c r="I14" s="1"/>
      <c r="J14" s="1"/>
      <c r="K14" s="1">
        <v>0.75975529777954098</v>
      </c>
      <c r="L14" s="1"/>
      <c r="M14" s="1">
        <v>0.75724722594722105</v>
      </c>
      <c r="N14" s="1"/>
      <c r="O14" s="1">
        <v>0.74578393787110098</v>
      </c>
      <c r="P14" s="1"/>
      <c r="Q14" s="1"/>
      <c r="R14" s="1">
        <v>0.74136309106001497</v>
      </c>
      <c r="S14" s="1"/>
      <c r="T14" s="1"/>
      <c r="U14" s="2">
        <f t="shared" si="1"/>
        <v>0.75771761551448336</v>
      </c>
      <c r="V14" s="1"/>
    </row>
    <row r="15" spans="1:22" x14ac:dyDescent="0.3">
      <c r="A15" s="1" t="s">
        <v>7</v>
      </c>
      <c r="B15" s="1"/>
      <c r="C15" s="1"/>
      <c r="D15" s="2">
        <f>AVERAGE(D5,D6,D7,D8,D9,D10,D11,D12,D13,D14)</f>
        <v>0.77917273607534265</v>
      </c>
      <c r="E15" s="1"/>
      <c r="F15" s="2">
        <f>AVERAGE(F5,F6,F7,F8,F9,F10,F11,F12,F13,F14)</f>
        <v>0.76171087832770612</v>
      </c>
      <c r="G15" s="2"/>
      <c r="H15" s="1">
        <f>AVERAGE(H5,H6,H7,H8,H9,H10,H11,H12,H13,H14)</f>
        <v>0.74087027070759481</v>
      </c>
      <c r="I15" s="1"/>
      <c r="J15" s="1"/>
      <c r="K15" s="2">
        <f t="shared" ref="K15" si="2">AVERAGE(K5,K6,K7,K8,K9,K10,K11,K12,K13,K14)</f>
        <v>0.76129810452165869</v>
      </c>
      <c r="L15" s="1"/>
      <c r="M15" s="2">
        <f>AVERAGE(M5,M6,M7,M8,M9,M10,M11,M12,M13,M14)</f>
        <v>0.77330078423448545</v>
      </c>
      <c r="N15" s="1"/>
      <c r="O15" s="1">
        <f>AVERAGE(O5,O6,O7,O8,O9,O10,O11,O12,O13,O14)</f>
        <v>0.76024965564691183</v>
      </c>
      <c r="P15" s="1"/>
      <c r="Q15" s="1"/>
      <c r="R15" s="1">
        <f>AVERAGE(R5,R6,R7,R8,R9,R10,R11,R12,R13,R14)</f>
        <v>0.75845255975826198</v>
      </c>
      <c r="S15" s="1"/>
      <c r="T15" s="1"/>
      <c r="U15" s="2">
        <f>AVERAGE(U5,U6,U7,U8,U9,U10,U11,U13,U12,U14)</f>
        <v>0.76215071275313739</v>
      </c>
      <c r="V15" s="1"/>
    </row>
  </sheetData>
  <mergeCells count="113">
    <mergeCell ref="R3:T3"/>
    <mergeCell ref="D4:E4"/>
    <mergeCell ref="O3:Q3"/>
    <mergeCell ref="R4:T4"/>
    <mergeCell ref="M4:N4"/>
    <mergeCell ref="K4:L4"/>
    <mergeCell ref="O4:Q4"/>
    <mergeCell ref="F4:G4"/>
    <mergeCell ref="D3:G3"/>
    <mergeCell ref="H3:N3"/>
    <mergeCell ref="H4:J4"/>
    <mergeCell ref="B4:C4"/>
    <mergeCell ref="U4:V4"/>
    <mergeCell ref="A5:A14"/>
    <mergeCell ref="B5:C5"/>
    <mergeCell ref="D5:E5"/>
    <mergeCell ref="K5:L5"/>
    <mergeCell ref="M5:N5"/>
    <mergeCell ref="O5:Q5"/>
    <mergeCell ref="R5:T5"/>
    <mergeCell ref="U5:V5"/>
    <mergeCell ref="B6:C6"/>
    <mergeCell ref="D6:E6"/>
    <mergeCell ref="K6:L6"/>
    <mergeCell ref="M6:N6"/>
    <mergeCell ref="O6:Q6"/>
    <mergeCell ref="R6:T6"/>
    <mergeCell ref="U6:V6"/>
    <mergeCell ref="B7:C7"/>
    <mergeCell ref="D7:E7"/>
    <mergeCell ref="K7:L7"/>
    <mergeCell ref="M7:N7"/>
    <mergeCell ref="O7:Q7"/>
    <mergeCell ref="R7:T7"/>
    <mergeCell ref="U7:V7"/>
    <mergeCell ref="O8:Q8"/>
    <mergeCell ref="R8:T8"/>
    <mergeCell ref="U8:V8"/>
    <mergeCell ref="B9:C9"/>
    <mergeCell ref="D9:E9"/>
    <mergeCell ref="K9:L9"/>
    <mergeCell ref="M9:N9"/>
    <mergeCell ref="O9:Q9"/>
    <mergeCell ref="R9:T9"/>
    <mergeCell ref="U9:V9"/>
    <mergeCell ref="B8:C8"/>
    <mergeCell ref="D8:E8"/>
    <mergeCell ref="K8:L8"/>
    <mergeCell ref="M8:N8"/>
    <mergeCell ref="O10:Q10"/>
    <mergeCell ref="R10:T10"/>
    <mergeCell ref="U10:V10"/>
    <mergeCell ref="B11:C11"/>
    <mergeCell ref="D11:E11"/>
    <mergeCell ref="K11:L11"/>
    <mergeCell ref="M11:N11"/>
    <mergeCell ref="O11:Q11"/>
    <mergeCell ref="R11:T11"/>
    <mergeCell ref="U11:V11"/>
    <mergeCell ref="B10:C10"/>
    <mergeCell ref="D10:E10"/>
    <mergeCell ref="K10:L10"/>
    <mergeCell ref="M10:N10"/>
    <mergeCell ref="M13:N13"/>
    <mergeCell ref="O13:Q13"/>
    <mergeCell ref="R13:T13"/>
    <mergeCell ref="U13:V13"/>
    <mergeCell ref="B12:C12"/>
    <mergeCell ref="D12:E12"/>
    <mergeCell ref="K12:L12"/>
    <mergeCell ref="M12:N12"/>
    <mergeCell ref="O12:Q12"/>
    <mergeCell ref="R12:T12"/>
    <mergeCell ref="U12:V12"/>
    <mergeCell ref="B13:C13"/>
    <mergeCell ref="D13:E13"/>
    <mergeCell ref="K13:L13"/>
    <mergeCell ref="O14:Q14"/>
    <mergeCell ref="R14:T14"/>
    <mergeCell ref="U14:V14"/>
    <mergeCell ref="A15:C15"/>
    <mergeCell ref="D15:E15"/>
    <mergeCell ref="K15:L15"/>
    <mergeCell ref="M15:N15"/>
    <mergeCell ref="O15:Q15"/>
    <mergeCell ref="R15:T15"/>
    <mergeCell ref="U15:V15"/>
    <mergeCell ref="B14:C14"/>
    <mergeCell ref="D14:E14"/>
    <mergeCell ref="K14:L14"/>
    <mergeCell ref="M14:N14"/>
    <mergeCell ref="F14:G14"/>
    <mergeCell ref="F15:G15"/>
    <mergeCell ref="H14:J14"/>
    <mergeCell ref="H15:J15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H5:J5"/>
    <mergeCell ref="H6:J6"/>
    <mergeCell ref="H7:J7"/>
    <mergeCell ref="H8:J8"/>
    <mergeCell ref="H9:J9"/>
    <mergeCell ref="H10:J10"/>
    <mergeCell ref="H11:J11"/>
    <mergeCell ref="H12:J12"/>
    <mergeCell ref="H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Hoang Nhat Minh 202417253</cp:lastModifiedBy>
  <dcterms:created xsi:type="dcterms:W3CDTF">2015-06-05T18:17:20Z</dcterms:created>
  <dcterms:modified xsi:type="dcterms:W3CDTF">2025-09-24T16:35:54Z</dcterms:modified>
</cp:coreProperties>
</file>